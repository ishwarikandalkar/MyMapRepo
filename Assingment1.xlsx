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Pictures\Documents\Excel\"/>
    </mc:Choice>
  </mc:AlternateContent>
  <xr:revisionPtr revIDLastSave="0" documentId="13_ncr:1_{70B50152-FB7F-499F-A0BA-5A8D78EF146A}" xr6:coauthVersionLast="47" xr6:coauthVersionMax="47" xr10:uidLastSave="{00000000-0000-0000-0000-000000000000}"/>
  <bookViews>
    <workbookView xWindow="-108" yWindow="-108" windowWidth="21336" windowHeight="11376" xr2:uid="{F9209B56-4E73-46E7-BD68-39873BB23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/>
  <c r="N14" i="1"/>
  <c r="N13" i="1"/>
  <c r="N12" i="1"/>
  <c r="N11" i="1"/>
  <c r="N10" i="1"/>
  <c r="N9" i="1"/>
  <c r="N8" i="1"/>
  <c r="N7" i="1"/>
  <c r="N6" i="1"/>
  <c r="M15" i="1"/>
  <c r="M14" i="1"/>
  <c r="M13" i="1"/>
  <c r="M12" i="1"/>
  <c r="M11" i="1"/>
  <c r="M10" i="1"/>
  <c r="M9" i="1"/>
  <c r="M8" i="1"/>
  <c r="M7" i="1"/>
  <c r="M6" i="1"/>
  <c r="L6" i="1"/>
  <c r="L15" i="1"/>
  <c r="L14" i="1"/>
  <c r="L13" i="1"/>
  <c r="L12" i="1"/>
  <c r="L11" i="1"/>
  <c r="L10" i="1"/>
  <c r="L9" i="1"/>
  <c r="L8" i="1"/>
  <c r="L7" i="1"/>
  <c r="K15" i="1"/>
  <c r="K14" i="1"/>
  <c r="K13" i="1"/>
  <c r="K12" i="1"/>
  <c r="K11" i="1"/>
  <c r="K10" i="1"/>
  <c r="K9" i="1"/>
  <c r="K8" i="1"/>
  <c r="K7" i="1"/>
  <c r="K6" i="1"/>
  <c r="J15" i="1"/>
  <c r="J14" i="1"/>
  <c r="J13" i="1"/>
  <c r="J12" i="1"/>
  <c r="J11" i="1"/>
  <c r="J10" i="1"/>
  <c r="J6" i="1"/>
  <c r="C7" i="1"/>
  <c r="C8" i="1"/>
  <c r="C9" i="1"/>
  <c r="C10" i="1"/>
  <c r="C11" i="1"/>
  <c r="C12" i="1"/>
  <c r="C13" i="1"/>
  <c r="C14" i="1"/>
  <c r="C15" i="1"/>
  <c r="C6" i="1"/>
</calcChain>
</file>

<file path=xl/sharedStrings.xml><?xml version="1.0" encoding="utf-8"?>
<sst xmlns="http://schemas.openxmlformats.org/spreadsheetml/2006/main" count="32" uniqueCount="19">
  <si>
    <t xml:space="preserve">Transcation ID </t>
  </si>
  <si>
    <t xml:space="preserve"> Date </t>
  </si>
  <si>
    <t>Region</t>
  </si>
  <si>
    <t xml:space="preserve">Product Category </t>
  </si>
  <si>
    <t xml:space="preserve">Units Sold  </t>
  </si>
  <si>
    <t>Units Prices</t>
  </si>
  <si>
    <t>Disccount %</t>
  </si>
  <si>
    <t>Gross Profit</t>
  </si>
  <si>
    <t xml:space="preserve">Disscount Amount </t>
  </si>
  <si>
    <t xml:space="preserve">Net Sales </t>
  </si>
  <si>
    <t>Tax(18%)</t>
  </si>
  <si>
    <t xml:space="preserve">Total Revenue </t>
  </si>
  <si>
    <t xml:space="preserve">Nouth </t>
  </si>
  <si>
    <t xml:space="preserve">East </t>
  </si>
  <si>
    <t xml:space="preserve">South </t>
  </si>
  <si>
    <t xml:space="preserve">West </t>
  </si>
  <si>
    <t xml:space="preserve">Electronice </t>
  </si>
  <si>
    <t xml:space="preserve">Apparel </t>
  </si>
  <si>
    <t>Home dec.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</si>
</sst>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6BBD-462A-49F0-8635-8D8E5C2059A0}">
  <dimension ref="C5:N15"/>
  <sheetViews>
    <sheetView tabSelected="1" topLeftCell="A2" workbookViewId="0">
      <selection activeCell="C5" sqref="C5"/>
    </sheetView>
  </sheetViews>
  <sheetFormatPr defaultRowHeight="14.4" x14ac:dyDescent="0.3"/>
  <cols>
    <col min="3" max="3" width="12.44140625" customWidth="1"/>
    <col min="6" max="6" width="15.5546875" customWidth="1"/>
    <col min="8" max="9" width="10.6640625" customWidth="1"/>
    <col min="10" max="10" width="10.109375" customWidth="1"/>
    <col min="11" max="11" width="15.44140625" customWidth="1"/>
    <col min="12" max="12" width="11" bestFit="1" customWidth="1"/>
    <col min="13" max="13" width="10" bestFit="1" customWidth="1"/>
    <col min="14" max="14" width="12.88671875" customWidth="1"/>
    <col min="15" max="15" width="17" customWidth="1"/>
  </cols>
  <sheetData>
    <row r="5" spans="3:14" ht="37.799999999999997" customHeight="1" x14ac:dyDescent="0.3">
      <c r="C5" s="3" t="s">
        <v>0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</row>
    <row r="6" spans="3:14" x14ac:dyDescent="0.3">
      <c r="C6">
        <f>ROW(A1)</f>
        <v>1</v>
      </c>
      <c r="D6" s="1">
        <v>37165</v>
      </c>
      <c r="E6" t="s">
        <v>12</v>
      </c>
      <c r="F6" t="s">
        <v>16</v>
      </c>
      <c r="G6">
        <v>50</v>
      </c>
      <c r="H6">
        <v>300</v>
      </c>
      <c r="I6" s="2">
        <v>0.05</v>
      </c>
      <c r="J6">
        <f>H6*G6</f>
        <v>15000</v>
      </c>
      <c r="K6">
        <f t="shared" ref="K6:K15" si="0">I6*J6</f>
        <v>750</v>
      </c>
      <c r="L6">
        <f>J6*K6</f>
        <v>11250000</v>
      </c>
      <c r="M6">
        <f t="shared" ref="M6:M15" si="1">L6*18%</f>
        <v>2025000</v>
      </c>
      <c r="N6">
        <f>L6+M6</f>
        <v>13275000</v>
      </c>
    </row>
    <row r="7" spans="3:14" x14ac:dyDescent="0.3">
      <c r="C7">
        <f t="shared" ref="C7:C15" si="2">ROW(A2)</f>
        <v>2</v>
      </c>
      <c r="D7" s="1">
        <v>37895</v>
      </c>
      <c r="E7" t="s">
        <v>13</v>
      </c>
      <c r="F7" t="s">
        <v>17</v>
      </c>
      <c r="G7">
        <v>100</v>
      </c>
      <c r="H7">
        <v>400</v>
      </c>
      <c r="I7" s="2">
        <v>0.06</v>
      </c>
      <c r="J7">
        <v>40000</v>
      </c>
      <c r="K7">
        <f t="shared" si="0"/>
        <v>2400</v>
      </c>
      <c r="L7">
        <f t="shared" ref="L7:L15" si="3">J7*K7</f>
        <v>96000000</v>
      </c>
      <c r="M7">
        <f t="shared" si="1"/>
        <v>17280000</v>
      </c>
      <c r="N7">
        <f>L7+M7</f>
        <v>113280000</v>
      </c>
    </row>
    <row r="8" spans="3:14" x14ac:dyDescent="0.3">
      <c r="C8">
        <f t="shared" si="2"/>
        <v>3</v>
      </c>
      <c r="D8" s="1">
        <v>38626</v>
      </c>
      <c r="E8" t="s">
        <v>14</v>
      </c>
      <c r="F8" t="s">
        <v>17</v>
      </c>
      <c r="G8">
        <v>150</v>
      </c>
      <c r="H8">
        <v>500</v>
      </c>
      <c r="I8" s="2">
        <v>7.0000000000000007E-2</v>
      </c>
      <c r="J8">
        <v>75000</v>
      </c>
      <c r="K8">
        <f t="shared" si="0"/>
        <v>5250.0000000000009</v>
      </c>
      <c r="L8">
        <f t="shared" si="3"/>
        <v>393750000.00000006</v>
      </c>
      <c r="M8">
        <f t="shared" si="1"/>
        <v>70875000.000000015</v>
      </c>
      <c r="N8">
        <f>L8+M8</f>
        <v>464625000.00000006</v>
      </c>
    </row>
    <row r="9" spans="3:14" x14ac:dyDescent="0.3">
      <c r="C9">
        <f t="shared" si="2"/>
        <v>4</v>
      </c>
      <c r="D9" s="1">
        <v>40452</v>
      </c>
      <c r="E9" t="s">
        <v>15</v>
      </c>
      <c r="F9" t="s">
        <v>18</v>
      </c>
      <c r="G9">
        <v>200</v>
      </c>
      <c r="H9">
        <v>200</v>
      </c>
      <c r="I9" s="2">
        <v>0.03</v>
      </c>
      <c r="J9">
        <v>40000</v>
      </c>
      <c r="K9">
        <f t="shared" si="0"/>
        <v>1200</v>
      </c>
      <c r="L9">
        <f t="shared" si="3"/>
        <v>48000000</v>
      </c>
      <c r="M9">
        <f t="shared" si="1"/>
        <v>8640000</v>
      </c>
      <c r="N9">
        <f>L9+M9</f>
        <v>56640000</v>
      </c>
    </row>
    <row r="10" spans="3:14" x14ac:dyDescent="0.3">
      <c r="C10">
        <f t="shared" si="2"/>
        <v>5</v>
      </c>
      <c r="D10" s="1">
        <v>44470</v>
      </c>
      <c r="E10" t="s">
        <v>15</v>
      </c>
      <c r="F10" t="s">
        <v>16</v>
      </c>
      <c r="G10">
        <v>150</v>
      </c>
      <c r="H10">
        <v>460</v>
      </c>
      <c r="I10" s="2">
        <v>7.0000000000000007E-2</v>
      </c>
      <c r="J10">
        <f>+G10*H10</f>
        <v>69000</v>
      </c>
      <c r="K10">
        <f t="shared" si="0"/>
        <v>4830.0000000000009</v>
      </c>
      <c r="L10">
        <f t="shared" si="3"/>
        <v>333270000.00000006</v>
      </c>
      <c r="M10">
        <f t="shared" si="1"/>
        <v>59988600.000000007</v>
      </c>
      <c r="N10">
        <f>L10+M10</f>
        <v>393258600.00000006</v>
      </c>
    </row>
    <row r="11" spans="3:14" x14ac:dyDescent="0.3">
      <c r="C11">
        <f t="shared" si="2"/>
        <v>6</v>
      </c>
      <c r="D11" s="1">
        <v>37956</v>
      </c>
      <c r="E11" t="s">
        <v>13</v>
      </c>
      <c r="F11" t="s">
        <v>18</v>
      </c>
      <c r="G11">
        <v>400</v>
      </c>
      <c r="H11">
        <v>540</v>
      </c>
      <c r="I11" s="2">
        <v>0.02</v>
      </c>
      <c r="J11">
        <f>G11*H11</f>
        <v>216000</v>
      </c>
      <c r="K11">
        <f t="shared" si="0"/>
        <v>4320</v>
      </c>
      <c r="L11">
        <f t="shared" si="3"/>
        <v>933120000</v>
      </c>
      <c r="M11">
        <f t="shared" si="1"/>
        <v>167961600</v>
      </c>
      <c r="N11">
        <f>L11+M11</f>
        <v>1101081600</v>
      </c>
    </row>
    <row r="12" spans="3:14" x14ac:dyDescent="0.3">
      <c r="C12">
        <f t="shared" si="2"/>
        <v>7</v>
      </c>
      <c r="D12" s="1">
        <v>39417</v>
      </c>
      <c r="E12" t="s">
        <v>14</v>
      </c>
      <c r="F12" t="s">
        <v>17</v>
      </c>
      <c r="G12">
        <v>450</v>
      </c>
      <c r="H12">
        <v>300</v>
      </c>
      <c r="I12" s="2">
        <v>0.09</v>
      </c>
      <c r="J12">
        <f>G12*H12</f>
        <v>135000</v>
      </c>
      <c r="K12">
        <f t="shared" si="0"/>
        <v>12150</v>
      </c>
      <c r="L12">
        <f t="shared" si="3"/>
        <v>1640250000</v>
      </c>
      <c r="M12">
        <f t="shared" si="1"/>
        <v>295245000</v>
      </c>
      <c r="N12">
        <f>L12+M12</f>
        <v>1935495000</v>
      </c>
    </row>
    <row r="13" spans="3:14" x14ac:dyDescent="0.3">
      <c r="C13">
        <f t="shared" si="2"/>
        <v>8</v>
      </c>
      <c r="D13" s="1">
        <v>43800</v>
      </c>
      <c r="E13" t="s">
        <v>15</v>
      </c>
      <c r="F13" t="s">
        <v>16</v>
      </c>
      <c r="G13">
        <v>500</v>
      </c>
      <c r="H13">
        <v>200</v>
      </c>
      <c r="I13" s="2">
        <v>7.0000000000000007E-2</v>
      </c>
      <c r="J13">
        <f>G13*H13</f>
        <v>100000</v>
      </c>
      <c r="K13">
        <f t="shared" si="0"/>
        <v>7000.0000000000009</v>
      </c>
      <c r="L13">
        <f t="shared" si="3"/>
        <v>700000000.00000012</v>
      </c>
      <c r="M13">
        <f t="shared" si="1"/>
        <v>126000000.00000001</v>
      </c>
      <c r="N13">
        <f>L13+M13</f>
        <v>826000000.00000012</v>
      </c>
    </row>
    <row r="14" spans="3:14" x14ac:dyDescent="0.3">
      <c r="C14">
        <f t="shared" si="2"/>
        <v>9</v>
      </c>
      <c r="D14" s="1">
        <v>45992</v>
      </c>
      <c r="E14" t="s">
        <v>13</v>
      </c>
      <c r="F14" t="s">
        <v>18</v>
      </c>
      <c r="G14">
        <v>350</v>
      </c>
      <c r="H14">
        <v>140</v>
      </c>
      <c r="I14" s="2">
        <v>0.13</v>
      </c>
      <c r="J14">
        <f>G14*H14</f>
        <v>49000</v>
      </c>
      <c r="K14">
        <f t="shared" si="0"/>
        <v>6370</v>
      </c>
      <c r="L14">
        <f t="shared" si="3"/>
        <v>312130000</v>
      </c>
      <c r="M14">
        <f t="shared" si="1"/>
        <v>56183400</v>
      </c>
      <c r="N14">
        <f>L14+M14</f>
        <v>368313400</v>
      </c>
    </row>
    <row r="15" spans="3:14" x14ac:dyDescent="0.3">
      <c r="C15">
        <f t="shared" si="2"/>
        <v>10</v>
      </c>
      <c r="D15" s="1">
        <v>47453</v>
      </c>
      <c r="E15" t="s">
        <v>12</v>
      </c>
      <c r="F15" t="s">
        <v>17</v>
      </c>
      <c r="G15">
        <v>300</v>
      </c>
      <c r="H15">
        <v>300</v>
      </c>
      <c r="I15" s="2">
        <v>0.08</v>
      </c>
      <c r="J15">
        <f>G15*H15</f>
        <v>90000</v>
      </c>
      <c r="K15">
        <f t="shared" si="0"/>
        <v>7200</v>
      </c>
      <c r="L15">
        <f t="shared" si="3"/>
        <v>648000000</v>
      </c>
      <c r="M15">
        <f t="shared" si="1"/>
        <v>116640000</v>
      </c>
      <c r="N15">
        <f>L15+M15</f>
        <v>764640000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ishwari kandalkar</dc:creator>
  <cp:lastModifiedBy>ishwari kandalkar</cp:lastModifiedBy>
  <dcterms:created xsi:type="dcterms:W3CDTF">2026-02-06T15:55:32Z</dcterms:created>
  <dcterms:modified xsi:type="dcterms:W3CDTF">2026-02-07T15:01:53Z</dcterms:modified>
</cp:coreProperties>
</file>