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OneDrive\Pictures\Documents\Excel\"/>
    </mc:Choice>
  </mc:AlternateContent>
  <xr:revisionPtr revIDLastSave="0" documentId="8_{B43B0349-EE88-4BBE-92D6-DF7A261F240D}" xr6:coauthVersionLast="47" xr6:coauthVersionMax="47" xr10:uidLastSave="{00000000-0000-0000-0000-000000000000}"/>
  <bookViews>
    <workbookView xWindow="-108" yWindow="-108" windowWidth="21336" windowHeight="11376" xr2:uid="{00000000-000D-0000-FFFF-FFFF00000000}"/>
  </bookViews>
  <sheets>
    <sheet name="Financ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5" i="1"/>
  <c r="B26" i="1"/>
  <c r="F2" i="1"/>
  <c r="G2" i="1"/>
  <c r="H2" i="1"/>
  <c r="I2" i="1"/>
  <c r="J2" i="1"/>
  <c r="F3" i="1"/>
  <c r="G3" i="1"/>
  <c r="H3" i="1"/>
  <c r="I3" i="1"/>
  <c r="J3" i="1"/>
  <c r="F4" i="1"/>
  <c r="J4" i="1" s="1"/>
  <c r="G4" i="1"/>
  <c r="H4" i="1"/>
  <c r="I4" i="1"/>
  <c r="F5" i="1"/>
  <c r="G5" i="1"/>
  <c r="H5" i="1"/>
  <c r="I5" i="1"/>
  <c r="J5" i="1"/>
  <c r="F6" i="1"/>
  <c r="J6" i="1" s="1"/>
  <c r="G6" i="1"/>
  <c r="H6" i="1"/>
  <c r="I6" i="1"/>
  <c r="F7" i="1"/>
  <c r="G7" i="1"/>
  <c r="H7" i="1"/>
  <c r="I7" i="1"/>
  <c r="J7" i="1"/>
  <c r="F8" i="1"/>
  <c r="G8" i="1"/>
  <c r="H8" i="1"/>
  <c r="I8" i="1"/>
  <c r="J8" i="1"/>
  <c r="F9" i="1"/>
  <c r="G9" i="1" s="1"/>
  <c r="H9" i="1"/>
  <c r="I9" i="1"/>
  <c r="F10" i="1"/>
  <c r="G10" i="1"/>
  <c r="H10" i="1"/>
  <c r="I10" i="1"/>
  <c r="J10" i="1"/>
  <c r="F11" i="1"/>
  <c r="J11" i="1" s="1"/>
  <c r="G11" i="1"/>
  <c r="H11" i="1"/>
  <c r="I11" i="1" s="1"/>
  <c r="F12" i="1"/>
  <c r="G12" i="1"/>
  <c r="H12" i="1"/>
  <c r="I12" i="1"/>
  <c r="J12" i="1"/>
  <c r="F13" i="1"/>
  <c r="G13" i="1"/>
  <c r="H13" i="1"/>
  <c r="I13" i="1"/>
  <c r="J13" i="1"/>
  <c r="J9" i="1" l="1"/>
  <c r="B20" i="1"/>
  <c r="B19" i="1"/>
  <c r="C19" i="1"/>
  <c r="B21" i="1"/>
  <c r="D19" i="1"/>
  <c r="D20" i="1"/>
  <c r="C20" i="1"/>
  <c r="D21" i="1"/>
  <c r="D18" i="1"/>
  <c r="C21" i="1"/>
  <c r="B18" i="1"/>
  <c r="C18" i="1"/>
</calcChain>
</file>

<file path=xl/sharedStrings.xml><?xml version="1.0" encoding="utf-8"?>
<sst xmlns="http://schemas.openxmlformats.org/spreadsheetml/2006/main" count="49" uniqueCount="23">
  <si>
    <t>Month</t>
  </si>
  <si>
    <t>Department</t>
  </si>
  <si>
    <t>Budgeted Expense</t>
  </si>
  <si>
    <t>Actual Expense</t>
  </si>
  <si>
    <t>Revenue Generated</t>
  </si>
  <si>
    <t>Expense Variance</t>
  </si>
  <si>
    <t>Variance %</t>
  </si>
  <si>
    <t>Profit</t>
  </si>
  <si>
    <t>Profit Margin %</t>
  </si>
  <si>
    <t>Variance Type</t>
  </si>
  <si>
    <t>Oct</t>
  </si>
  <si>
    <t>Sales</t>
  </si>
  <si>
    <t>Marketing</t>
  </si>
  <si>
    <t>HR</t>
  </si>
  <si>
    <t>IT</t>
  </si>
  <si>
    <t>Nov</t>
  </si>
  <si>
    <t>Dec</t>
  </si>
  <si>
    <t>Department Summary</t>
  </si>
  <si>
    <t>Total Budget</t>
  </si>
  <si>
    <t>Total Actual</t>
  </si>
  <si>
    <t>Total Revenue</t>
  </si>
  <si>
    <t>Monthly Profit Summary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</si>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</sst>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A16" sqref="A16:E2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150000</v>
      </c>
      <c r="D2">
        <v>165000</v>
      </c>
      <c r="E2">
        <v>320000</v>
      </c>
      <c r="F2">
        <f t="shared" ref="F2:F13" si="0">D2-C2</f>
        <v>15000</v>
      </c>
      <c r="G2" s="2">
        <f t="shared" ref="G2:G13" si="1">IF(C2=0,0,F2/C2)</f>
        <v>0.1</v>
      </c>
      <c r="H2">
        <f t="shared" ref="H2:H13" si="2">E2-D2</f>
        <v>155000</v>
      </c>
      <c r="I2" s="2">
        <f t="shared" ref="I2:I13" si="3">IF(E2=0,0,H2/E2)</f>
        <v>0.484375</v>
      </c>
      <c r="J2" t="str">
        <f t="shared" ref="J2:J13" si="4">IF(F2&lt;=0,"Favorable","Unfavorable")</f>
        <v>Unfavorable</v>
      </c>
    </row>
    <row r="3" spans="1:10" x14ac:dyDescent="0.3">
      <c r="A3" t="s">
        <v>10</v>
      </c>
      <c r="B3" t="s">
        <v>12</v>
      </c>
      <c r="C3">
        <v>90000</v>
      </c>
      <c r="D3">
        <v>85000</v>
      </c>
      <c r="E3">
        <v>180000</v>
      </c>
      <c r="F3">
        <f t="shared" si="0"/>
        <v>-5000</v>
      </c>
      <c r="G3" s="2">
        <f t="shared" si="1"/>
        <v>-5.5555555555555552E-2</v>
      </c>
      <c r="H3">
        <f t="shared" si="2"/>
        <v>95000</v>
      </c>
      <c r="I3" s="2">
        <f t="shared" si="3"/>
        <v>0.52777777777777779</v>
      </c>
      <c r="J3" t="str">
        <f t="shared" si="4"/>
        <v>Favorable</v>
      </c>
    </row>
    <row r="4" spans="1:10" x14ac:dyDescent="0.3">
      <c r="A4" t="s">
        <v>10</v>
      </c>
      <c r="B4" t="s">
        <v>13</v>
      </c>
      <c r="C4">
        <v>60000</v>
      </c>
      <c r="D4">
        <v>55000</v>
      </c>
      <c r="E4">
        <v>0</v>
      </c>
      <c r="F4">
        <f t="shared" si="0"/>
        <v>-5000</v>
      </c>
      <c r="G4" s="2">
        <f t="shared" si="1"/>
        <v>-8.3333333333333329E-2</v>
      </c>
      <c r="H4">
        <f t="shared" si="2"/>
        <v>-55000</v>
      </c>
      <c r="I4" s="2">
        <f t="shared" si="3"/>
        <v>0</v>
      </c>
      <c r="J4" t="str">
        <f t="shared" si="4"/>
        <v>Favorable</v>
      </c>
    </row>
    <row r="5" spans="1:10" x14ac:dyDescent="0.3">
      <c r="A5" t="s">
        <v>10</v>
      </c>
      <c r="B5" t="s">
        <v>14</v>
      </c>
      <c r="C5">
        <v>70000</v>
      </c>
      <c r="D5">
        <v>72000</v>
      </c>
      <c r="E5">
        <v>0</v>
      </c>
      <c r="F5">
        <f t="shared" si="0"/>
        <v>2000</v>
      </c>
      <c r="G5" s="2">
        <f t="shared" si="1"/>
        <v>2.8571428571428571E-2</v>
      </c>
      <c r="H5">
        <f t="shared" si="2"/>
        <v>-72000</v>
      </c>
      <c r="I5" s="2">
        <f t="shared" si="3"/>
        <v>0</v>
      </c>
      <c r="J5" t="str">
        <f t="shared" si="4"/>
        <v>Unfavorable</v>
      </c>
    </row>
    <row r="6" spans="1:10" x14ac:dyDescent="0.3">
      <c r="A6" t="s">
        <v>15</v>
      </c>
      <c r="B6" t="s">
        <v>11</v>
      </c>
      <c r="C6">
        <v>160000</v>
      </c>
      <c r="D6">
        <v>155000</v>
      </c>
      <c r="E6">
        <v>350000</v>
      </c>
      <c r="F6">
        <f t="shared" si="0"/>
        <v>-5000</v>
      </c>
      <c r="G6" s="2">
        <f t="shared" si="1"/>
        <v>-3.125E-2</v>
      </c>
      <c r="H6">
        <f t="shared" si="2"/>
        <v>195000</v>
      </c>
      <c r="I6" s="2">
        <f t="shared" si="3"/>
        <v>0.55714285714285716</v>
      </c>
      <c r="J6" t="str">
        <f t="shared" si="4"/>
        <v>Favorable</v>
      </c>
    </row>
    <row r="7" spans="1:10" x14ac:dyDescent="0.3">
      <c r="A7" t="s">
        <v>15</v>
      </c>
      <c r="B7" t="s">
        <v>12</v>
      </c>
      <c r="C7">
        <v>95000</v>
      </c>
      <c r="D7">
        <v>102000</v>
      </c>
      <c r="E7">
        <v>210000</v>
      </c>
      <c r="F7">
        <f t="shared" si="0"/>
        <v>7000</v>
      </c>
      <c r="G7" s="2">
        <f t="shared" si="1"/>
        <v>7.3684210526315783E-2</v>
      </c>
      <c r="H7">
        <f t="shared" si="2"/>
        <v>108000</v>
      </c>
      <c r="I7" s="2">
        <f t="shared" si="3"/>
        <v>0.51428571428571423</v>
      </c>
      <c r="J7" t="str">
        <f t="shared" si="4"/>
        <v>Unfavorable</v>
      </c>
    </row>
    <row r="8" spans="1:10" x14ac:dyDescent="0.3">
      <c r="A8" t="s">
        <v>15</v>
      </c>
      <c r="B8" t="s">
        <v>13</v>
      </c>
      <c r="C8">
        <v>65000</v>
      </c>
      <c r="D8">
        <v>68000</v>
      </c>
      <c r="E8">
        <v>0</v>
      </c>
      <c r="F8">
        <f t="shared" si="0"/>
        <v>3000</v>
      </c>
      <c r="G8" s="2">
        <f t="shared" si="1"/>
        <v>4.6153846153846156E-2</v>
      </c>
      <c r="H8">
        <f t="shared" si="2"/>
        <v>-68000</v>
      </c>
      <c r="I8" s="2">
        <f t="shared" si="3"/>
        <v>0</v>
      </c>
      <c r="J8" t="str">
        <f t="shared" si="4"/>
        <v>Unfavorable</v>
      </c>
    </row>
    <row r="9" spans="1:10" x14ac:dyDescent="0.3">
      <c r="A9" t="s">
        <v>15</v>
      </c>
      <c r="B9" t="s">
        <v>14</v>
      </c>
      <c r="C9">
        <v>75000</v>
      </c>
      <c r="D9">
        <v>73000</v>
      </c>
      <c r="E9">
        <v>0</v>
      </c>
      <c r="F9">
        <f t="shared" si="0"/>
        <v>-2000</v>
      </c>
      <c r="G9" s="2">
        <f t="shared" si="1"/>
        <v>-2.6666666666666668E-2</v>
      </c>
      <c r="H9">
        <f t="shared" si="2"/>
        <v>-73000</v>
      </c>
      <c r="I9" s="2">
        <f t="shared" si="3"/>
        <v>0</v>
      </c>
      <c r="J9" t="str">
        <f t="shared" si="4"/>
        <v>Favorable</v>
      </c>
    </row>
    <row r="10" spans="1:10" x14ac:dyDescent="0.3">
      <c r="A10" t="s">
        <v>16</v>
      </c>
      <c r="B10" t="s">
        <v>11</v>
      </c>
      <c r="C10">
        <v>180000</v>
      </c>
      <c r="D10">
        <v>190000</v>
      </c>
      <c r="E10">
        <v>400000</v>
      </c>
      <c r="F10">
        <f t="shared" si="0"/>
        <v>10000</v>
      </c>
      <c r="G10" s="2">
        <f t="shared" si="1"/>
        <v>5.5555555555555552E-2</v>
      </c>
      <c r="H10">
        <f t="shared" si="2"/>
        <v>210000</v>
      </c>
      <c r="I10" s="2">
        <f t="shared" si="3"/>
        <v>0.52500000000000002</v>
      </c>
      <c r="J10" t="str">
        <f t="shared" si="4"/>
        <v>Unfavorable</v>
      </c>
    </row>
    <row r="11" spans="1:10" x14ac:dyDescent="0.3">
      <c r="A11" t="s">
        <v>16</v>
      </c>
      <c r="B11" t="s">
        <v>12</v>
      </c>
      <c r="C11">
        <v>100000</v>
      </c>
      <c r="D11">
        <v>98000</v>
      </c>
      <c r="E11">
        <v>250000</v>
      </c>
      <c r="F11">
        <f t="shared" si="0"/>
        <v>-2000</v>
      </c>
      <c r="G11" s="2">
        <f t="shared" si="1"/>
        <v>-0.02</v>
      </c>
      <c r="H11">
        <f t="shared" si="2"/>
        <v>152000</v>
      </c>
      <c r="I11" s="2">
        <f t="shared" si="3"/>
        <v>0.60799999999999998</v>
      </c>
      <c r="J11" t="str">
        <f t="shared" si="4"/>
        <v>Favorable</v>
      </c>
    </row>
    <row r="12" spans="1:10" x14ac:dyDescent="0.3">
      <c r="A12" t="s">
        <v>16</v>
      </c>
      <c r="B12" t="s">
        <v>13</v>
      </c>
      <c r="C12">
        <v>70000</v>
      </c>
      <c r="D12">
        <v>72000</v>
      </c>
      <c r="E12">
        <v>0</v>
      </c>
      <c r="F12">
        <f t="shared" si="0"/>
        <v>2000</v>
      </c>
      <c r="G12" s="2">
        <f t="shared" si="1"/>
        <v>2.8571428571428571E-2</v>
      </c>
      <c r="H12">
        <f t="shared" si="2"/>
        <v>-72000</v>
      </c>
      <c r="I12" s="2">
        <f t="shared" si="3"/>
        <v>0</v>
      </c>
      <c r="J12" t="str">
        <f t="shared" si="4"/>
        <v>Unfavorable</v>
      </c>
    </row>
    <row r="13" spans="1:10" x14ac:dyDescent="0.3">
      <c r="A13" t="s">
        <v>16</v>
      </c>
      <c r="B13" t="s">
        <v>14</v>
      </c>
      <c r="C13">
        <v>80000</v>
      </c>
      <c r="D13">
        <v>85000</v>
      </c>
      <c r="E13">
        <v>0</v>
      </c>
      <c r="F13">
        <f t="shared" si="0"/>
        <v>5000</v>
      </c>
      <c r="G13" s="2">
        <f t="shared" si="1"/>
        <v>6.25E-2</v>
      </c>
      <c r="H13">
        <f t="shared" si="2"/>
        <v>-85000</v>
      </c>
      <c r="I13" s="2">
        <f t="shared" si="3"/>
        <v>0</v>
      </c>
      <c r="J13" t="str">
        <f t="shared" si="4"/>
        <v>Unfavorable</v>
      </c>
    </row>
    <row r="16" spans="1:10" x14ac:dyDescent="0.3">
      <c r="A16" s="1" t="s">
        <v>17</v>
      </c>
    </row>
    <row r="17" spans="1:4" x14ac:dyDescent="0.3">
      <c r="A17" t="s">
        <v>1</v>
      </c>
      <c r="B17" t="s">
        <v>18</v>
      </c>
      <c r="C17" t="s">
        <v>19</v>
      </c>
      <c r="D17" t="s">
        <v>20</v>
      </c>
    </row>
    <row r="18" spans="1:4" x14ac:dyDescent="0.3">
      <c r="A18" t="s">
        <v>11</v>
      </c>
      <c r="B18" t="str">
        <f ca="1">SUMIFS(C:C,B:B,"Sales")</f>
        <v/>
      </c>
      <c r="C18" t="str">
        <f ca="1">SUMIFS(D:D,B:B,"Sales")</f>
        <v/>
      </c>
      <c r="D18" t="str">
        <f ca="1">SUMIFS(E:E,B:B,"Sales")</f>
        <v/>
      </c>
    </row>
    <row r="19" spans="1:4" x14ac:dyDescent="0.3">
      <c r="A19" t="s">
        <v>12</v>
      </c>
      <c r="B19" t="str">
        <f ca="1">SUMIFS(C:C,B:B,"Marketing")</f>
        <v/>
      </c>
      <c r="C19" t="str">
        <f ca="1">SUMIFS(D:D,B:B,"Marketing")</f>
        <v/>
      </c>
      <c r="D19" t="str">
        <f ca="1">SUMIFS(E:E,B:B,"Marketing")</f>
        <v/>
      </c>
    </row>
    <row r="20" spans="1:4" x14ac:dyDescent="0.3">
      <c r="A20" t="s">
        <v>13</v>
      </c>
      <c r="B20" t="str">
        <f ca="1">SUMIFS(C:C,B:B,"HR")</f>
        <v/>
      </c>
      <c r="C20" t="str">
        <f ca="1">SUMIFS(D:D,B:B,"HR")</f>
        <v/>
      </c>
      <c r="D20" t="str">
        <f ca="1">SUMIFS(E:E,B:B,"HR")</f>
        <v/>
      </c>
    </row>
    <row r="21" spans="1:4" x14ac:dyDescent="0.3">
      <c r="A21" t="s">
        <v>14</v>
      </c>
      <c r="B21" t="str">
        <f ca="1">SUMIFS(C:C,B:B,"IT")</f>
        <v/>
      </c>
      <c r="C21" t="str">
        <f ca="1">SUMIFS(D:D,B:B,"IT")</f>
        <v/>
      </c>
      <c r="D21" t="str">
        <f ca="1">SUMIFS(E:E,B:B,"IT")</f>
        <v/>
      </c>
    </row>
    <row r="22" spans="1:4" x14ac:dyDescent="0.3">
      <c r="A22" s="1" t="s">
        <v>21</v>
      </c>
    </row>
    <row r="23" spans="1:4" x14ac:dyDescent="0.3">
      <c r="A23" t="s">
        <v>0</v>
      </c>
      <c r="B23" t="s">
        <v>22</v>
      </c>
    </row>
    <row r="24" spans="1:4" x14ac:dyDescent="0.3">
      <c r="A24" t="s">
        <v>10</v>
      </c>
      <c r="B24">
        <f>SUMIFS(H:H,A:A,"Oct")</f>
        <v>123000</v>
      </c>
    </row>
    <row r="25" spans="1:4" x14ac:dyDescent="0.3">
      <c r="A25" t="s">
        <v>15</v>
      </c>
      <c r="B25">
        <f>SUMIFS(H:H,A:A,"Nov")</f>
        <v>162000</v>
      </c>
    </row>
    <row r="26" spans="1:4" x14ac:dyDescent="0.3">
      <c r="A26" t="s">
        <v>16</v>
      </c>
      <c r="B26">
        <f>SUMIFS(H:H,A:A,"Dec")</f>
        <v>205000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ishwari kandalkar</cp:lastModifiedBy>
  <dcterms:created xsi:type="dcterms:W3CDTF">2026-02-15T13:51:29Z</dcterms:created>
  <dcterms:modified xsi:type="dcterms:W3CDTF">2026-02-15T13:54:48Z</dcterms:modified>
</cp:coreProperties>
</file>